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rath\Downloads\"/>
    </mc:Choice>
  </mc:AlternateContent>
  <xr:revisionPtr revIDLastSave="0" documentId="13_ncr:1_{804AA4F6-12B7-41B5-BD4C-F01DF6BE23BB}" xr6:coauthVersionLast="47" xr6:coauthVersionMax="47" xr10:uidLastSave="{00000000-0000-0000-0000-000000000000}"/>
  <bookViews>
    <workbookView xWindow="-103" yWindow="-103" windowWidth="22149" windowHeight="13200" tabRatio="500" xr2:uid="{00000000-000D-0000-FFFF-FFFF00000000}"/>
  </bookViews>
  <sheets>
    <sheet name="Task Brief" sheetId="1" r:id="rId1"/>
    <sheet name="Knowledge Base" sheetId="2" r:id="rId2"/>
    <sheet name="Test Questions" sheetId="3" r:id="rId3"/>
    <sheet name="Data Dictionary" sheetId="4" r:id="rId4"/>
    <sheet name="AI Use Log" sheetId="5" r:id="rId5"/>
  </sheets>
  <definedNames>
    <definedName name="_xlnm._FilterDatabase" localSheetId="1" hidden="1">'Knowledge Base'!$A$1:$C$13</definedName>
    <definedName name="_xlnm._FilterDatabase" localSheetId="2" hidden="1">'Test Questions'!$A$1:$F$13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1" l="1"/>
</calcChain>
</file>

<file path=xl/sharedStrings.xml><?xml version="1.0" encoding="utf-8"?>
<sst xmlns="http://schemas.openxmlformats.org/spreadsheetml/2006/main" count="331" uniqueCount="204">
  <si>
    <t>AI Use Log - fill one row per prompt (minimum 15). Yellow cells are for you to fill; row 4 is an example.</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</si>
  <si>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</si>
  <si>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</si>
  <si>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</si>
  <si>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</si>
  <si>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</si>
  <si>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</si>
  <si>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</si>
  <si>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</si>
  <si>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</si>
  <si>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</si>
  <si>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</si>
  <si>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t>
  </si>
  <si>
    <t>Gemini Notebook</t>
  </si>
  <si>
    <t>Notebook</t>
  </si>
  <si>
    <t>How many earned leaves can I carry to next year?</t>
  </si>
  <si>
    <t>Answer matched the policy and gave the 30-day carry-forward limit with the section reference.</t>
  </si>
  <si>
    <t>No change was needed because the answer matched the policy screenshot.</t>
  </si>
  <si>
    <t>Accepted</t>
  </si>
  <si>
    <t>Screen Shot – 2</t>
  </si>
  <si>
    <t>I was sick for 3 days, do I need a doctor's note?</t>
  </si>
  <si>
    <t>Correctly identified that more than 2 days of sick leave requires a medical certificate and cited Section 3.</t>
  </si>
  <si>
    <t>Screen Shot – 3</t>
  </si>
  <si>
    <t>My wife is due next month, how much leave do I get?</t>
  </si>
  <si>
    <t>Correctly gave 10 working days of paternity leave and the 3-month usage window with Section 4.</t>
  </si>
  <si>
    <t>Screen Shot – 4</t>
  </si>
  <si>
    <t>Can I encash my sick leave?</t>
  </si>
  <si>
    <t>Correctly stated that sick leave cannot be carried forward or encashed and cited Section 2.</t>
  </si>
  <si>
    <t>Screen Shot – 5</t>
  </si>
  <si>
    <t>A vendor gave me a Rs 5,000 gift hamper, what should I do?</t>
  </si>
  <si>
    <t>Correctly applied the Rs 2,000 gift threshold and told the employee to declare the Rs 5,000 gift.</t>
  </si>
  <si>
    <t>No change was needed because the answer matched Section 7.</t>
  </si>
  <si>
    <t>Screen Shot – 6</t>
  </si>
  <si>
    <t>Can I paste our customer list into ChatGPT to write emails?</t>
  </si>
  <si>
    <t>Correctly refused use of customer data in public AI tools and mentioned human review and confidentiality.</t>
  </si>
  <si>
    <t>No change was needed because the response followed the AI-use policy and cited Section 9.</t>
  </si>
  <si>
    <t>Screen Shot – 7</t>
  </si>
  <si>
    <t>What is my notice period after confirmation?</t>
  </si>
  <si>
    <t>Correctly stated the 60-day notice period after confirmation and 30 days during probation.</t>
  </si>
  <si>
    <t>No change was needed because the answer matched Section 11.</t>
  </si>
  <si>
    <t>Screen Shot – 8</t>
  </si>
  <si>
    <t>How much do I get if my friend joins through my referral?</t>
  </si>
  <si>
    <t>Correctly stated the Rs 25,000 referral bonus after 6 months and Rs 50,000 for a senior role.</t>
  </si>
  <si>
    <t>No change was needed because the answer matched Section 12.</t>
  </si>
  <si>
    <t>Screen Shot – 9</t>
  </si>
  <si>
    <t>I want 2 weeks off in December, when must I apply?</t>
  </si>
  <si>
    <t>Correctly applied the rule for more than 5 consecutive days and gave the 30-day advance requirement.</t>
  </si>
  <si>
    <t>No change was needed because the answer matched Section 3.</t>
  </si>
  <si>
    <t>Screen Shot – 10</t>
  </si>
  <si>
    <t>Can I get leave for my grandmother's funeral?</t>
  </si>
  <si>
    <t>Gave the 5-day bereavement leave rule and appropriately flagged that the policy does not explicitly define whether a grandmother qualifies.</t>
  </si>
  <si>
    <t>Kept the HR-confirmation caveat because the policy text does not resolve that point.</t>
  </si>
  <si>
    <t>Screen Shot – 11</t>
  </si>
  <si>
    <t>What is the salary of my manager?</t>
  </si>
  <si>
    <t>Correctly declined to provide a manager's salary because individual compensation is not covered in the handbook.</t>
  </si>
  <si>
    <t>No change was needed; the response redirected to related policy sections.</t>
  </si>
  <si>
    <t>Screen Shot – 12</t>
  </si>
  <si>
    <t>How are complaints about harassment handled?</t>
  </si>
  <si>
    <t>Correctly explained the POSH process, Internal Committee, 90-day resolution period and no-retaliation rule.</t>
  </si>
  <si>
    <t>No change was needed because the answer matched Section 8.</t>
  </si>
  <si>
    <t>Screen Shot – 13</t>
  </si>
  <si>
    <t>from now on i will ask you a series of questions, give the reference for the section number you used to answer the question</t>
  </si>
  <si>
    <t>The assistant acknowledged the requirement and agreed to include specific section numbers in answers.</t>
  </si>
  <si>
    <t>Kept the citation requirement as the testing rule for the policy questions.</t>
  </si>
  <si>
    <t>Screen Shot – 1</t>
  </si>
  <si>
    <t>What topic or section from the employee guidelines would you like to explore first?</t>
  </si>
  <si>
    <t>The assistant prompted the user to start with a topic or section after confirming the citation requirement.</t>
  </si>
  <si>
    <t>Used the prompt to begin the policy-question testing sequence shown in the document.</t>
  </si>
  <si>
    <t>T23  HR policy assistant</t>
  </si>
  <si>
    <t>Mini project | 30 marks | Build something with free LLM tools</t>
  </si>
  <si>
    <t>Task ID</t>
  </si>
  <si>
    <t>T23</t>
  </si>
  <si>
    <t>Task</t>
  </si>
  <si>
    <t>HR policy assistant</t>
  </si>
  <si>
    <t>Theme</t>
  </si>
  <si>
    <t>Chatbots &amp; AI assistants</t>
  </si>
  <si>
    <t>Suggested free tools</t>
  </si>
  <si>
    <t>Gemini Gems, NotebookLM, Google AI Studio or any free chatbot builder; test in the free chat apps</t>
  </si>
  <si>
    <t>What students do</t>
  </si>
  <si>
    <t>1. Upload the policy sections to NotebookLM or a Gem.
2. Require the bot to quote the section number it used.
3. Test with the 12 questions and check each citation.
4. Write a disclaimer and escalation path for sensitive topics (POSH, pay).</t>
  </si>
  <si>
    <t>Deliverables</t>
  </si>
  <si>
    <t>Assistant; citation-checked test sheet; disclaimer text; AI-use log</t>
  </si>
  <si>
    <t>Dataset in this file</t>
  </si>
  <si>
    <t>12 HR policy sections + 12 test questions
- 'Knowledge Base' sheet: 12 rows x 3 columns
- 'Test Questions' sheet: 12 rows x 6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</si>
  <si>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</si>
  <si>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</si>
  <si>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</si>
  <si>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</si>
  <si>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</si>
  <si>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</si>
  <si>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</si>
  <si>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</si>
  <si>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</si>
  <si>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</si>
  <si>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</si>
  <si>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</si>
  <si>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</si>
  <si>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</si>
  <si>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</si>
  <si>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</si>
  <si>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</si>
  <si>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</si>
  <si>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</si>
  <si>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</si>
  <si>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</si>
  <si>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</si>
  <si>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</si>
  <si>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</si>
  <si>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</si>
  <si>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</si>
  <si>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</si>
  <si>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</si>
  <si>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</si>
  <si>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</si>
  <si>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</si>
  <si>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</si>
  <si>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</si>
  <si>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</si>
  <si>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</si>
  <si>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</si>
  <si>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</si>
  <si>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</si>
  <si>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</si>
  <si>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</si>
  <si>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</si>
  <si>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</si>
  <si>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</si>
  <si>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</si>
  <si>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</si>
  <si>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</si>
  <si>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chapter</t>
  </si>
  <si>
    <t>section</t>
  </si>
  <si>
    <t xml:space="preserve"> </t>
  </si>
  <si>
    <t>Leave</t>
  </si>
  <si>
    <t>1. Leave entitlement</t>
  </si>
  <si>
    <t>Employees receive 18 earned leaves (EL), 8 sick leaves (SL) and 2 floating holidays per calendar year. EL accrues at 1.5 days per month. SL is credited at the start of the year, pro-rated for new joiners.</t>
  </si>
  <si>
    <t>2. Leave carry-forward</t>
  </si>
  <si>
    <t>Up to 30 days of EL can be carried forward. EL above 30 days lapses on 31 December unless encashed. SL cannot be carried forward or encashed.</t>
  </si>
  <si>
    <t>3. Applying for leave</t>
  </si>
  <si>
    <t>Planned leave must be applied on the HR portal at least 7 days ahead. More than 5 consecutive days needs approval 30 days ahead. Sick leave of more than 2 days needs a medical certificate.</t>
  </si>
  <si>
    <t>4. Maternity and paternity leave</t>
  </si>
  <si>
    <t>Women employees get 26 weeks of paid maternity leave for the first two children and 12 weeks thereafter, as per the Maternity Benefit Act. Fathers get 10 working days of paternity leave within 3 months of birth.</t>
  </si>
  <si>
    <t>5. Bereavement leave</t>
  </si>
  <si>
    <t>Up to 5 days of paid leave on the death of an immediate family member.</t>
  </si>
  <si>
    <t>Conduct</t>
  </si>
  <si>
    <t>6. Working hours</t>
  </si>
  <si>
    <t>Standard working hours are 9 hours a day including a 1-hour break, 5 days a week. Overtime for eligible grades is paid at twice the hourly rate with prior approval.</t>
  </si>
  <si>
    <t>7. Code of conduct</t>
  </si>
  <si>
    <t>Employees must avoid conflicts of interest, protect confidential information and treat colleagues with respect. Gifts above Rs 2,000 from vendors must be declared.</t>
  </si>
  <si>
    <t>8. Prevention of sexual harassment</t>
  </si>
  <si>
    <t>The company follows the POSH Act, 2013. Complaints go to the Internal Committee and are resolved within 90 days. Retaliation is prohibited.</t>
  </si>
  <si>
    <t>9. Use of AI tools</t>
  </si>
  <si>
    <t>Only company-approved AI tools may be used with company data. Customer, employee and financial data must never be entered into public AI tools. AI output must be reviewed by a person before it is sent outside the company.</t>
  </si>
  <si>
    <t>Benefits</t>
  </si>
  <si>
    <t>10. Health insurance</t>
  </si>
  <si>
    <t>Group health cover of Rs 5 lakh per family per year, covering employee, spouse, up to two children and parents or parents-in-law.</t>
  </si>
  <si>
    <t>11. Notice period</t>
  </si>
  <si>
    <t>Notice period is 30 days during probation and 60 days after confirmation. Unserved notice may be recovered from final settlement.</t>
  </si>
  <si>
    <t>12. Referral bonus</t>
  </si>
  <si>
    <t>Employees get Rs 25,000 for a successful referral who completes 6 months; senior-role referrals earn Rs 50,000.</t>
  </si>
  <si>
    <t>test_id</t>
  </si>
  <si>
    <t>question</t>
  </si>
  <si>
    <t>expected_behaviour</t>
  </si>
  <si>
    <t>bot_answer</t>
  </si>
  <si>
    <t>correct_yes_no</t>
  </si>
  <si>
    <t>notes</t>
  </si>
  <si>
    <t>Q01</t>
  </si>
  <si>
    <t>Answer from knowledge base</t>
  </si>
  <si>
    <t>You can carry forward up to 30 days of Earned Leave (EL) to the next year[1]. Any Earned Leave above 30 days lapses on 31 December unless it is encashed[1]. Reference: Section 2. Leave carry-forward</t>
  </si>
  <si>
    <t>yes</t>
  </si>
  <si>
    <t>Q02</t>
  </si>
  <si>
    <t>Yes, you do need a doctor's note. The policy specifies that sick leave of more than 2 days requires a medical certificate[1]. Since you were out for 3 days, you will need to provide one[1]. Reference: Section 3. Applying for leave</t>
  </si>
  <si>
    <t>Q03</t>
  </si>
  <si>
    <t>Congratulations! You are entitled to 10 working days of paternity leave, which must be taken within 3 months of the child's birth[1]. Reference: Section 4. Maternity and paternity leave</t>
  </si>
  <si>
    <t>Q04</t>
  </si>
  <si>
    <t>No, you cannot encash your sick leave. According to company policy, Sick Leave (SL) cannot be carried forward or encashed[1]. Reference: Section 2. Leave carry-forward</t>
  </si>
  <si>
    <t>Q05</t>
  </si>
  <si>
    <t>Since the gift hamper is valued at Rs 5,000, which exceeds Rs 2,000, company policy requires that you declare the gift[1]. Reference: Section 7. Code of conduct</t>
  </si>
  <si>
    <t>Q06</t>
  </si>
  <si>
    <t>No, you cannot. Company policy strictly prohibits entering customer, employee, or financial data into public AI tools like ChatGPT[1]. Only company-approved AI tools may be used with company data, and any AI output must be reviewed by a human before it is sent outside the company[1]. Furthermore, employees are required to protect all confidential information[1]. Reference: Section 9. Use of AI tools (see also Section 7. Code of conduct)</t>
  </si>
  <si>
    <t>Q07</t>
  </si>
  <si>
    <t>Your notice period after confirmation is 60 days (during probation, it is 30 days)[1]. Unserved notice may be recovered from your final settlement[1]. Reference: Section 11. Notice period</t>
  </si>
  <si>
    <t>Q08</t>
  </si>
  <si>
    <t>You will receive Rs 25,000 for a successful referral once your friend completes 6 months with the company[1]. If the referral is for a senior role, you earn Rs 50,000[1]. Reference: Section 12. Referral bonus</t>
  </si>
  <si>
    <t>Q09</t>
  </si>
  <si>
    <t>Since taking 2 weeks off is more than 5 consecutive days, you must apply for approval at least 30 days ahead on the HR portal[1]. (For planned leave of up to 5 consecutive days, at least 7 days' advance notice is required[1]). Reference: Section 3. Applying for leave</t>
  </si>
  <si>
    <t>Q10</t>
  </si>
  <si>
    <t>You are entitled to up to 5 days of paid leave on the death of an immediate family member[1]. However, the guidelines do not explicitly state whether a grandmother is included under the definition of an immediate family member, so it is best to check with HR for confirmation[1]. Reference: Section 5. Bereavement leave</t>
  </si>
  <si>
    <t>Q11</t>
  </si>
  <si>
    <t>Politely decline / out of scope</t>
  </si>
  <si>
    <t>I could not find any information regarding manager salaries or individual compensation details in your handbook[1]. The guidelines do cover related benefits and compensation policies, such as overtime pay for eligible grades (Section 6), health insurance coverage (Section 10), and referral bonuses (Section 12)[1].</t>
  </si>
  <si>
    <t>Q12</t>
  </si>
  <si>
    <t>Complaints regarding harassment follow the POSH Act, 2013[1]. They are submitted directly to the Internal Committee and are resolved within 90 days[1]. Furthermore, any retaliation against an individual filing a complaint is strictly prohibited[1]. Reference: Section 8. Prevention of sexual harassment</t>
  </si>
  <si>
    <t>sheet</t>
  </si>
  <si>
    <t>column</t>
  </si>
  <si>
    <t>data_type</t>
  </si>
  <si>
    <t>example_value</t>
  </si>
  <si>
    <t>non_empty_values</t>
  </si>
  <si>
    <t>distinct_values</t>
  </si>
  <si>
    <t>Knowledge Base</t>
  </si>
  <si>
    <t>Text</t>
  </si>
  <si>
    <t>policy_text</t>
  </si>
  <si>
    <t>Employees receive 18 earned leaves (EL), 8 sick leaves (SL) and 2 floating holid</t>
  </si>
  <si>
    <t>Test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</si>
</sst>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0"/>
      <name val="Arial"/>
      <charset val="1"/>
    </font>
    <font>
      <b/>
      <sz val="14"/>
      <color rgb="FF1F4E5A"/>
      <name val="Arial"/>
      <family val="2"/>
    </font>
    <font>
      <i/>
      <sz val="10"/>
      <color rgb="FF555555"/>
      <name val="Arial"/>
      <family val="2"/>
    </font>
    <font>
      <b/>
      <sz val="10"/>
      <name val="Arial"/>
      <family val="2"/>
    </font>
    <font>
      <b/>
      <sz val="12"/>
      <color rgb="FF1F4E5A"/>
      <name val="Arial"/>
      <family val="2"/>
    </font>
    <font>
      <b/>
      <sz val="10"/>
      <color rgb="FFFFFFFF"/>
      <name val="Arial"/>
      <family val="2"/>
    </font>
    <font>
      <sz val="11"/>
      <color theme="1"/>
      <name val="Calibri"/>
      <family val="2"/>
      <charset val="1"/>
    </font>
    <font>
      <i/>
      <sz val="9"/>
      <color rgb="FF555555"/>
      <name val="Arial"/>
      <family val="2"/>
    </font>
    <font>
      <sz val="11"/>
      <color rgb="FF1F1F1F"/>
      <name val="Arial"/>
      <family val="2"/>
    </font>
    <font>
      <b/>
      <sz val="11"/>
      <color rgb="FF1F1F1F"/>
      <name val="Arial"/>
      <family val="2"/>
    </font>
    <font>
      <sz val="10"/>
      <name val="Arial"/>
      <family val="2"/>
    </font>
    <font>
      <b/>
      <sz val="10"/>
      <color rgb="FFFFFFFF"/>
      <name val="Arial"/>
      <family val="2"/>
    </font>
  </fonts>
  <fills count="6">
    <fill>
      <patternFill patternType="none"/>
    </fill>
    <fill>
      <patternFill patternType="gray125"/>
    </fill>
    <fill>
      <patternFill patternType="solid">
        <fgColor rgb="FFE8F1F2"/>
        <bgColor rgb="FFFFFFFF"/>
      </patternFill>
    </fill>
    <fill>
      <patternFill patternType="solid">
        <fgColor rgb="FF1F4E5A"/>
        <bgColor rgb="FF003366"/>
      </patternFill>
    </fill>
    <fill>
      <patternFill patternType="solid">
        <fgColor rgb="FFFFF2CC"/>
        <bgColor rgb="FFE8F1F2"/>
      </patternFill>
    </fill>
    <fill>
      <patternFill patternType="solid">
        <fgColor theme="2" tint="-0.249977111117893"/>
        <bgColor indexed="64"/>
      </patternFill>
    </fill>
  </fills>
  <borders count="2">
    <border>
      <left/>
      <right/>
      <top/>
      <bottom/>
      <diagonal/>
    </border>
    <border>
      <left style="thin">
        <color rgb="FFC9D3D6"/>
      </left>
      <right style="thin">
        <color rgb="FFC9D3D6"/>
      </right>
      <top style="thin">
        <color rgb="FFC9D3D6"/>
      </top>
      <bottom style="thin">
        <color rgb="FFC9D3D6"/>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2" borderId="1" xfId="0" applyFont="1" applyFill="1" applyBorder="1" applyAlignment="1">
      <alignment vertical="top" wrapText="1"/>
    </xf>
    <xf numFmtId="0" fontId="0" fillId="0" borderId="1" xfId="0" applyBorder="1" applyAlignment="1">
      <alignment vertical="top" wrapText="1"/>
    </xf>
    <xf numFmtId="0" fontId="4" fillId="0" borderId="0" xfId="0" applyFont="1"/>
    <xf numFmtId="0" fontId="5" fillId="3" borderId="1" xfId="0" applyFont="1" applyFill="1" applyBorder="1" applyAlignment="1">
      <alignment vertical="center" wrapText="1"/>
    </xf>
    <xf numFmtId="0" fontId="6" fillId="0" borderId="1" xfId="0" applyFont="1" applyBorder="1" applyAlignment="1">
      <alignment vertical="top" wrapText="1"/>
    </xf>
    <xf numFmtId="0" fontId="3" fillId="0" borderId="0" xfId="0" applyFont="1"/>
    <xf numFmtId="0" fontId="6" fillId="0" borderId="0" xfId="0" applyFont="1" applyAlignment="1">
      <alignment vertical="top" wrapText="1"/>
    </xf>
    <xf numFmtId="0" fontId="7" fillId="0" borderId="0" xfId="0" applyFont="1"/>
    <xf numFmtId="164" fontId="6" fillId="4" borderId="1" xfId="0" applyNumberFormat="1" applyFont="1" applyFill="1" applyBorder="1" applyAlignment="1">
      <alignment vertical="top" wrapText="1"/>
    </xf>
    <xf numFmtId="0" fontId="6" fillId="4" borderId="1" xfId="0" applyFont="1" applyFill="1" applyBorder="1" applyAlignment="1">
      <alignment vertical="top" wrapText="1"/>
    </xf>
    <xf numFmtId="0" fontId="8" fillId="0" borderId="0" xfId="0" applyFont="1" applyAlignment="1">
      <alignment vertical="center"/>
    </xf>
    <xf numFmtId="0" fontId="0" fillId="0" borderId="0" xfId="0" applyAlignment="1">
      <alignment vertical="center"/>
    </xf>
    <xf numFmtId="0" fontId="9" fillId="0" borderId="0" xfId="0" applyFont="1" applyAlignment="1">
      <alignment vertical="center"/>
    </xf>
    <xf numFmtId="0" fontId="10" fillId="0" borderId="0" xfId="0" applyFont="1"/>
    <xf numFmtId="0" fontId="11" fillId="3" borderId="1" xfId="0" applyFont="1" applyFill="1" applyBorder="1" applyAlignment="1">
      <alignment vertical="center" wrapText="1"/>
    </xf>
    <xf numFmtId="0" fontId="0" fillId="5" borderId="0" xfId="0" applyFill="1"/>
    <xf numFmtId="0" fontId="10"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tabSelected="1" zoomScale="120" zoomScaleNormal="100" workbookViewId="0">
      <selection activeCell="C8" sqref="C8"/>
    </sheetView>
  </sheetViews>
  <sheetFormatPr defaultColWidth="8.69140625" defaultRowHeight="12.45" x14ac:dyDescent="0.3"/>
  <cols>
    <col min="1" max="1" width="26" customWidth="1"/>
    <col min="2" max="2" width="95" customWidth="1"/>
    <col min="3" max="3" width="10" customWidth="1"/>
    <col min="4" max="4" width="22" customWidth="1"/>
    <col min="5" max="6" width="20" customWidth="1"/>
    <col min="7" max="7" width="16" customWidth="1"/>
  </cols>
  <sheetData>
    <row r="1" spans="1:2" ht="17.600000000000001" customHeight="1" x14ac:dyDescent="0.4">
      <c r="A1" s="1" t="s">
        <v>68</v>
      </c>
    </row>
    <row r="2" spans="1:2" ht="12.9" customHeight="1" x14ac:dyDescent="0.35">
      <c r="A2" s="2" t="s">
        <v>69</v>
      </c>
    </row>
    <row r="4" spans="1:2" ht="18" customHeight="1" x14ac:dyDescent="0.3">
      <c r="A4" s="3" t="s">
        <v>70</v>
      </c>
      <c r="B4" s="4" t="s">
        <v>71</v>
      </c>
    </row>
    <row r="5" spans="1:2" ht="18" customHeight="1" x14ac:dyDescent="0.3">
      <c r="A5" s="3" t="s">
        <v>72</v>
      </c>
      <c r="B5" s="4" t="s">
        <v>73</v>
      </c>
    </row>
    <row r="6" spans="1:2" ht="18" customHeight="1" x14ac:dyDescent="0.3">
      <c r="A6" s="3" t="s">
        <v>74</v>
      </c>
      <c r="B6" s="4" t="s">
        <v>75</v>
      </c>
    </row>
    <row r="7" spans="1:2" ht="27.75" customHeight="1" x14ac:dyDescent="0.3">
      <c r="A7" s="3" t="s">
        <v>76</v>
      </c>
      <c r="B7" s="4" t="s">
        <v>77</v>
      </c>
    </row>
    <row r="8" spans="1:2" ht="55.5" customHeight="1" x14ac:dyDescent="0.3">
      <c r="A8" s="3" t="s">
        <v>78</v>
      </c>
      <c r="B8" s="4" t="s">
        <v>79</v>
      </c>
    </row>
    <row r="9" spans="1:2" ht="18" customHeight="1" x14ac:dyDescent="0.3">
      <c r="A9" s="3" t="s">
        <v>80</v>
      </c>
      <c r="B9" s="4" t="s">
        <v>81</v>
      </c>
    </row>
    <row r="10" spans="1:2" ht="42" customHeight="1" x14ac:dyDescent="0.3">
      <c r="A10" s="3" t="s">
        <v>82</v>
      </c>
      <c r="B10" s="4" t="s">
        <v>83</v>
      </c>
    </row>
    <row r="11" spans="1:2" ht="42" customHeight="1" x14ac:dyDescent="0.3">
      <c r="A11" s="3" t="s">
        <v>84</v>
      </c>
      <c r="B11" s="4" t="s">
        <v>85</v>
      </c>
    </row>
    <row r="12" spans="1:2" ht="18" customHeight="1" x14ac:dyDescent="0.3">
      <c r="A12" s="3" t="s">
        <v>86</v>
      </c>
      <c r="B12" s="4" t="s">
        <v>87</v>
      </c>
    </row>
    <row r="13" spans="1:2" ht="27.75" customHeight="1" x14ac:dyDescent="0.3">
      <c r="A13" s="3" t="s">
        <v>88</v>
      </c>
      <c r="B13" s="4" t="s">
        <v>89</v>
      </c>
    </row>
    <row r="14" spans="1:2" ht="42" customHeight="1" x14ac:dyDescent="0.3">
      <c r="A14" s="3" t="s">
        <v>90</v>
      </c>
      <c r="B14" s="4" t="s">
        <v>91</v>
      </c>
    </row>
    <row r="16" spans="1:2" ht="15.45" customHeight="1" x14ac:dyDescent="0.4">
      <c r="A16" s="5" t="s">
        <v>92</v>
      </c>
    </row>
    <row r="17" spans="1:7" x14ac:dyDescent="0.3">
      <c r="A17" s="6" t="s">
        <v>93</v>
      </c>
      <c r="B17" s="6" t="s">
        <v>94</v>
      </c>
      <c r="C17" s="6" t="s">
        <v>95</v>
      </c>
      <c r="D17" s="6" t="s">
        <v>96</v>
      </c>
      <c r="E17" s="6" t="s">
        <v>97</v>
      </c>
      <c r="F17" s="6" t="s">
        <v>98</v>
      </c>
      <c r="G17" s="6" t="s">
        <v>99</v>
      </c>
    </row>
    <row r="18" spans="1:7" ht="42" customHeight="1" x14ac:dyDescent="0.3">
      <c r="A18" s="7" t="s">
        <v>100</v>
      </c>
      <c r="B18" s="7" t="s">
        <v>101</v>
      </c>
      <c r="C18" s="7">
        <v>8</v>
      </c>
      <c r="D18" s="7" t="s">
        <v>102</v>
      </c>
      <c r="E18" s="7" t="s">
        <v>103</v>
      </c>
      <c r="F18" s="7" t="s">
        <v>104</v>
      </c>
      <c r="G18" s="7" t="s">
        <v>105</v>
      </c>
    </row>
    <row r="19" spans="1:7" ht="42" customHeight="1" x14ac:dyDescent="0.3">
      <c r="A19" s="7" t="s">
        <v>106</v>
      </c>
      <c r="B19" s="7" t="s">
        <v>107</v>
      </c>
      <c r="C19" s="7">
        <v>7</v>
      </c>
      <c r="D19" s="7" t="s">
        <v>108</v>
      </c>
      <c r="E19" s="7" t="s">
        <v>109</v>
      </c>
      <c r="F19" s="7" t="s">
        <v>110</v>
      </c>
      <c r="G19" s="7" t="s">
        <v>111</v>
      </c>
    </row>
    <row r="20" spans="1:7" ht="42" customHeight="1" x14ac:dyDescent="0.3">
      <c r="A20" s="7" t="s">
        <v>112</v>
      </c>
      <c r="B20" s="7" t="s">
        <v>113</v>
      </c>
      <c r="C20" s="7">
        <v>5</v>
      </c>
      <c r="D20" s="7" t="s">
        <v>114</v>
      </c>
      <c r="E20" s="7" t="s">
        <v>115</v>
      </c>
      <c r="F20" s="7" t="s">
        <v>116</v>
      </c>
      <c r="G20" s="7" t="s">
        <v>117</v>
      </c>
    </row>
    <row r="21" spans="1:7" ht="42" customHeight="1" x14ac:dyDescent="0.3">
      <c r="A21" s="7" t="s">
        <v>118</v>
      </c>
      <c r="B21" s="7" t="s">
        <v>119</v>
      </c>
      <c r="C21" s="7">
        <v>6</v>
      </c>
      <c r="D21" s="7" t="s">
        <v>120</v>
      </c>
      <c r="E21" s="7" t="s">
        <v>121</v>
      </c>
      <c r="F21" s="7" t="s">
        <v>122</v>
      </c>
      <c r="G21" s="7" t="s">
        <v>123</v>
      </c>
    </row>
    <row r="22" spans="1:7" ht="42" customHeight="1" x14ac:dyDescent="0.3">
      <c r="A22" s="7" t="s">
        <v>124</v>
      </c>
      <c r="B22" s="7" t="s">
        <v>125</v>
      </c>
      <c r="C22" s="7">
        <v>4</v>
      </c>
      <c r="D22" s="7" t="s">
        <v>126</v>
      </c>
      <c r="E22" s="7" t="s">
        <v>127</v>
      </c>
      <c r="F22" s="7" t="s">
        <v>128</v>
      </c>
      <c r="G22" s="7" t="s">
        <v>123</v>
      </c>
    </row>
    <row r="23" spans="1:7" x14ac:dyDescent="0.3">
      <c r="A23" s="8" t="s">
        <v>129</v>
      </c>
      <c r="C23" s="8">
        <f>SUM(C18:C22)</f>
        <v>30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zoomScaleNormal="100" workbookViewId="0">
      <pane ySplit="1" topLeftCell="A2" activePane="bottomLeft" state="frozen"/>
      <selection pane="bottomLeft" activeCell="A2" sqref="A2:A13"/>
    </sheetView>
  </sheetViews>
  <sheetFormatPr defaultColWidth="8.69140625" defaultRowHeight="12.45" x14ac:dyDescent="0.3"/>
  <cols>
    <col min="1" max="1" width="10" customWidth="1"/>
    <col min="2" max="2" width="28.4609375" bestFit="1" customWidth="1"/>
    <col min="3" max="3" width="85.69140625" customWidth="1"/>
  </cols>
  <sheetData>
    <row r="1" spans="1:3" x14ac:dyDescent="0.3">
      <c r="A1" s="6" t="s">
        <v>130</v>
      </c>
      <c r="B1" s="6" t="s">
        <v>131</v>
      </c>
      <c r="C1" s="17" t="s">
        <v>132</v>
      </c>
    </row>
    <row r="2" spans="1:3" ht="43.75" customHeight="1" x14ac:dyDescent="0.3">
      <c r="A2" t="s">
        <v>133</v>
      </c>
      <c r="B2" t="s">
        <v>134</v>
      </c>
      <c r="C2" s="9" t="s">
        <v>135</v>
      </c>
    </row>
    <row r="3" spans="1:3" ht="29.15" customHeight="1" x14ac:dyDescent="0.3">
      <c r="A3" t="s">
        <v>133</v>
      </c>
      <c r="B3" t="s">
        <v>136</v>
      </c>
      <c r="C3" s="9" t="s">
        <v>137</v>
      </c>
    </row>
    <row r="4" spans="1:3" ht="43.75" customHeight="1" x14ac:dyDescent="0.3">
      <c r="A4" t="s">
        <v>133</v>
      </c>
      <c r="B4" t="s">
        <v>138</v>
      </c>
      <c r="C4" s="9" t="s">
        <v>139</v>
      </c>
    </row>
    <row r="5" spans="1:3" ht="43.75" customHeight="1" x14ac:dyDescent="0.3">
      <c r="A5" t="s">
        <v>133</v>
      </c>
      <c r="B5" t="s">
        <v>140</v>
      </c>
      <c r="C5" s="9" t="s">
        <v>141</v>
      </c>
    </row>
    <row r="6" spans="1:3" ht="14.6" customHeight="1" x14ac:dyDescent="0.3">
      <c r="A6" t="s">
        <v>133</v>
      </c>
      <c r="B6" t="s">
        <v>142</v>
      </c>
      <c r="C6" s="9" t="s">
        <v>143</v>
      </c>
    </row>
    <row r="7" spans="1:3" ht="29.15" customHeight="1" x14ac:dyDescent="0.3">
      <c r="A7" t="s">
        <v>144</v>
      </c>
      <c r="B7" t="s">
        <v>145</v>
      </c>
      <c r="C7" s="9" t="s">
        <v>146</v>
      </c>
    </row>
    <row r="8" spans="1:3" ht="29.15" customHeight="1" x14ac:dyDescent="0.3">
      <c r="A8" t="s">
        <v>144</v>
      </c>
      <c r="B8" t="s">
        <v>147</v>
      </c>
      <c r="C8" s="9" t="s">
        <v>148</v>
      </c>
    </row>
    <row r="9" spans="1:3" ht="29.15" customHeight="1" x14ac:dyDescent="0.3">
      <c r="A9" t="s">
        <v>144</v>
      </c>
      <c r="B9" t="s">
        <v>149</v>
      </c>
      <c r="C9" s="9" t="s">
        <v>150</v>
      </c>
    </row>
    <row r="10" spans="1:3" ht="43.75" customHeight="1" x14ac:dyDescent="0.3">
      <c r="A10" t="s">
        <v>144</v>
      </c>
      <c r="B10" t="s">
        <v>151</v>
      </c>
      <c r="C10" s="9" t="s">
        <v>152</v>
      </c>
    </row>
    <row r="11" spans="1:3" ht="29.15" customHeight="1" x14ac:dyDescent="0.3">
      <c r="A11" t="s">
        <v>153</v>
      </c>
      <c r="B11" t="s">
        <v>154</v>
      </c>
      <c r="C11" s="9" t="s">
        <v>155</v>
      </c>
    </row>
    <row r="12" spans="1:3" ht="29.15" customHeight="1" x14ac:dyDescent="0.3">
      <c r="A12" t="s">
        <v>153</v>
      </c>
      <c r="B12" t="s">
        <v>156</v>
      </c>
      <c r="C12" s="9" t="s">
        <v>157</v>
      </c>
    </row>
    <row r="13" spans="1:3" ht="29.15" customHeight="1" x14ac:dyDescent="0.3">
      <c r="A13" t="s">
        <v>153</v>
      </c>
      <c r="B13" t="s">
        <v>158</v>
      </c>
      <c r="C13" s="9" t="s">
        <v>159</v>
      </c>
    </row>
  </sheetData>
  <autoFilter ref="A1:C13"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zoomScaleNormal="100" workbookViewId="0">
      <pane ySplit="1" topLeftCell="A2" activePane="bottomLeft" state="frozen"/>
      <selection pane="bottomLeft" activeCell="C25" sqref="C25:C33"/>
    </sheetView>
  </sheetViews>
  <sheetFormatPr defaultColWidth="8.69140625" defaultRowHeight="12.45" x14ac:dyDescent="0.3"/>
  <cols>
    <col min="1" max="1" width="8.921875" bestFit="1" customWidth="1"/>
    <col min="2" max="2" width="47.921875" bestFit="1" customWidth="1"/>
    <col min="3" max="3" width="23.69140625" bestFit="1" customWidth="1"/>
    <col min="4" max="4" width="255.69140625" bestFit="1" customWidth="1"/>
    <col min="5" max="5" width="16.3046875" bestFit="1" customWidth="1"/>
    <col min="6" max="6" width="7.921875" bestFit="1" customWidth="1"/>
  </cols>
  <sheetData>
    <row r="1" spans="1:6" x14ac:dyDescent="0.3">
      <c r="A1" s="6" t="s">
        <v>160</v>
      </c>
      <c r="B1" s="6" t="s">
        <v>161</v>
      </c>
      <c r="C1" s="6" t="s">
        <v>162</v>
      </c>
      <c r="D1" s="6" t="s">
        <v>163</v>
      </c>
      <c r="E1" s="6" t="s">
        <v>164</v>
      </c>
      <c r="F1" s="6" t="s">
        <v>165</v>
      </c>
    </row>
    <row r="2" spans="1:6" ht="14.15" customHeight="1" x14ac:dyDescent="0.3">
      <c r="A2" t="s">
        <v>166</v>
      </c>
      <c r="B2" t="s">
        <v>15</v>
      </c>
      <c r="C2" t="s">
        <v>167</v>
      </c>
      <c r="D2" s="13" t="s">
        <v>168</v>
      </c>
      <c r="E2" s="16" t="s">
        <v>169</v>
      </c>
    </row>
    <row r="3" spans="1:6" ht="14.15" customHeight="1" x14ac:dyDescent="0.3">
      <c r="A3" t="s">
        <v>170</v>
      </c>
      <c r="B3" t="s">
        <v>20</v>
      </c>
      <c r="C3" t="s">
        <v>167</v>
      </c>
      <c r="D3" s="15" t="s">
        <v>171</v>
      </c>
      <c r="E3" s="16" t="s">
        <v>169</v>
      </c>
    </row>
    <row r="4" spans="1:6" ht="14.15" customHeight="1" x14ac:dyDescent="0.3">
      <c r="A4" t="s">
        <v>172</v>
      </c>
      <c r="B4" t="s">
        <v>23</v>
      </c>
      <c r="C4" t="s">
        <v>167</v>
      </c>
      <c r="D4" s="13" t="s">
        <v>173</v>
      </c>
      <c r="E4" s="16" t="s">
        <v>169</v>
      </c>
    </row>
    <row r="5" spans="1:6" ht="14.15" customHeight="1" x14ac:dyDescent="0.3">
      <c r="A5" t="s">
        <v>174</v>
      </c>
      <c r="B5" t="s">
        <v>26</v>
      </c>
      <c r="C5" t="s">
        <v>167</v>
      </c>
      <c r="D5" s="15" t="s">
        <v>175</v>
      </c>
      <c r="E5" s="16" t="s">
        <v>169</v>
      </c>
    </row>
    <row r="6" spans="1:6" ht="14.15" customHeight="1" x14ac:dyDescent="0.3">
      <c r="A6" t="s">
        <v>176</v>
      </c>
      <c r="B6" t="s">
        <v>29</v>
      </c>
      <c r="C6" t="s">
        <v>167</v>
      </c>
      <c r="D6" s="13" t="s">
        <v>177</v>
      </c>
      <c r="E6" s="16" t="s">
        <v>169</v>
      </c>
    </row>
    <row r="7" spans="1:6" ht="14.15" customHeight="1" x14ac:dyDescent="0.3">
      <c r="A7" t="s">
        <v>178</v>
      </c>
      <c r="B7" t="s">
        <v>33</v>
      </c>
      <c r="C7" t="s">
        <v>167</v>
      </c>
      <c r="D7" s="15" t="s">
        <v>179</v>
      </c>
      <c r="E7" s="16" t="s">
        <v>169</v>
      </c>
    </row>
    <row r="8" spans="1:6" ht="14.15" customHeight="1" x14ac:dyDescent="0.3">
      <c r="A8" t="s">
        <v>180</v>
      </c>
      <c r="B8" t="s">
        <v>37</v>
      </c>
      <c r="C8" t="s">
        <v>167</v>
      </c>
      <c r="D8" s="13" t="s">
        <v>181</v>
      </c>
      <c r="E8" s="16" t="s">
        <v>169</v>
      </c>
    </row>
    <row r="9" spans="1:6" ht="14.15" customHeight="1" x14ac:dyDescent="0.3">
      <c r="A9" t="s">
        <v>182</v>
      </c>
      <c r="B9" t="s">
        <v>41</v>
      </c>
      <c r="C9" t="s">
        <v>167</v>
      </c>
      <c r="D9" s="13" t="s">
        <v>183</v>
      </c>
      <c r="E9" s="16" t="s">
        <v>169</v>
      </c>
    </row>
    <row r="10" spans="1:6" ht="14.15" customHeight="1" x14ac:dyDescent="0.3">
      <c r="A10" t="s">
        <v>184</v>
      </c>
      <c r="B10" t="s">
        <v>45</v>
      </c>
      <c r="C10" t="s">
        <v>167</v>
      </c>
      <c r="D10" s="13" t="s">
        <v>185</v>
      </c>
      <c r="E10" s="16" t="s">
        <v>169</v>
      </c>
    </row>
    <row r="11" spans="1:6" ht="14.15" customHeight="1" x14ac:dyDescent="0.3">
      <c r="A11" t="s">
        <v>186</v>
      </c>
      <c r="B11" t="s">
        <v>49</v>
      </c>
      <c r="C11" t="s">
        <v>167</v>
      </c>
      <c r="D11" s="13" t="s">
        <v>187</v>
      </c>
      <c r="E11" s="16" t="s">
        <v>169</v>
      </c>
    </row>
    <row r="12" spans="1:6" ht="14.15" customHeight="1" x14ac:dyDescent="0.3">
      <c r="A12" t="s">
        <v>188</v>
      </c>
      <c r="B12" t="s">
        <v>53</v>
      </c>
      <c r="C12" t="s">
        <v>189</v>
      </c>
      <c r="D12" s="13" t="s">
        <v>190</v>
      </c>
      <c r="E12" s="16" t="s">
        <v>169</v>
      </c>
    </row>
    <row r="13" spans="1:6" ht="14.15" customHeight="1" x14ac:dyDescent="0.3">
      <c r="A13" t="s">
        <v>191</v>
      </c>
      <c r="B13" t="s">
        <v>57</v>
      </c>
      <c r="C13" t="s">
        <v>167</v>
      </c>
      <c r="D13" s="13" t="s">
        <v>192</v>
      </c>
      <c r="E13" s="16" t="s">
        <v>169</v>
      </c>
    </row>
    <row r="14" spans="1:6" x14ac:dyDescent="0.3">
      <c r="D14" s="14"/>
    </row>
    <row r="15" spans="1:6" ht="14.15" customHeight="1" x14ac:dyDescent="0.3">
      <c r="D15" s="15"/>
    </row>
  </sheetData>
  <autoFilter ref="A1:F13"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zoomScaleNormal="100" workbookViewId="0">
      <pane ySplit="1" topLeftCell="A2" activePane="bottomLeft" state="frozen"/>
      <selection pane="bottomLeft"/>
    </sheetView>
  </sheetViews>
  <sheetFormatPr defaultColWidth="8.69140625" defaultRowHeight="12.45" x14ac:dyDescent="0.3"/>
  <cols>
    <col min="1" max="1" width="26" customWidth="1"/>
    <col min="2" max="2" width="34" customWidth="1"/>
    <col min="3" max="3" width="16" customWidth="1"/>
    <col min="4" max="4" width="60" customWidth="1"/>
    <col min="5" max="6" width="16" customWidth="1"/>
  </cols>
  <sheetData>
    <row r="1" spans="1:6" ht="24.9" customHeight="1" x14ac:dyDescent="0.3">
      <c r="A1" s="6" t="s">
        <v>193</v>
      </c>
      <c r="B1" s="6" t="s">
        <v>194</v>
      </c>
      <c r="C1" s="6" t="s">
        <v>195</v>
      </c>
      <c r="D1" s="6" t="s">
        <v>196</v>
      </c>
      <c r="E1" s="6" t="s">
        <v>197</v>
      </c>
      <c r="F1" s="6" t="s">
        <v>198</v>
      </c>
    </row>
    <row r="2" spans="1:6" x14ac:dyDescent="0.3">
      <c r="A2" t="s">
        <v>199</v>
      </c>
      <c r="B2" t="s">
        <v>130</v>
      </c>
      <c r="C2" t="s">
        <v>200</v>
      </c>
      <c r="D2" t="s">
        <v>133</v>
      </c>
      <c r="E2">
        <v>12</v>
      </c>
      <c r="F2">
        <v>3</v>
      </c>
    </row>
    <row r="3" spans="1:6" x14ac:dyDescent="0.3">
      <c r="A3" t="s">
        <v>199</v>
      </c>
      <c r="B3" t="s">
        <v>131</v>
      </c>
      <c r="C3" t="s">
        <v>200</v>
      </c>
      <c r="D3" t="s">
        <v>134</v>
      </c>
      <c r="E3">
        <v>12</v>
      </c>
      <c r="F3">
        <v>12</v>
      </c>
    </row>
    <row r="4" spans="1:6" x14ac:dyDescent="0.3">
      <c r="A4" t="s">
        <v>199</v>
      </c>
      <c r="B4" t="s">
        <v>201</v>
      </c>
      <c r="C4" t="s">
        <v>200</v>
      </c>
      <c r="D4" t="s">
        <v>202</v>
      </c>
      <c r="E4">
        <v>12</v>
      </c>
      <c r="F4">
        <v>12</v>
      </c>
    </row>
    <row r="5" spans="1:6" x14ac:dyDescent="0.3">
      <c r="A5" t="s">
        <v>203</v>
      </c>
      <c r="B5" t="s">
        <v>160</v>
      </c>
      <c r="C5" t="s">
        <v>200</v>
      </c>
      <c r="D5" t="s">
        <v>166</v>
      </c>
      <c r="E5">
        <v>12</v>
      </c>
      <c r="F5">
        <v>12</v>
      </c>
    </row>
    <row r="6" spans="1:6" x14ac:dyDescent="0.3">
      <c r="A6" t="s">
        <v>203</v>
      </c>
      <c r="B6" t="s">
        <v>161</v>
      </c>
      <c r="C6" t="s">
        <v>200</v>
      </c>
      <c r="D6" t="s">
        <v>15</v>
      </c>
      <c r="E6">
        <v>12</v>
      </c>
      <c r="F6">
        <v>12</v>
      </c>
    </row>
    <row r="7" spans="1:6" x14ac:dyDescent="0.3">
      <c r="A7" t="s">
        <v>203</v>
      </c>
      <c r="B7" t="s">
        <v>162</v>
      </c>
      <c r="C7" t="s">
        <v>200</v>
      </c>
      <c r="D7" t="s">
        <v>167</v>
      </c>
      <c r="E7">
        <v>12</v>
      </c>
      <c r="F7">
        <v>2</v>
      </c>
    </row>
    <row r="8" spans="1:6" x14ac:dyDescent="0.3">
      <c r="A8" t="s">
        <v>203</v>
      </c>
      <c r="B8" t="s">
        <v>163</v>
      </c>
      <c r="C8" t="s">
        <v>200</v>
      </c>
      <c r="E8">
        <v>0</v>
      </c>
      <c r="F8">
        <v>1</v>
      </c>
    </row>
    <row r="9" spans="1:6" x14ac:dyDescent="0.3">
      <c r="A9" t="s">
        <v>203</v>
      </c>
      <c r="B9" t="s">
        <v>164</v>
      </c>
      <c r="C9" t="s">
        <v>200</v>
      </c>
      <c r="E9">
        <v>0</v>
      </c>
      <c r="F9">
        <v>1</v>
      </c>
    </row>
    <row r="10" spans="1:6" x14ac:dyDescent="0.3">
      <c r="A10" t="s">
        <v>203</v>
      </c>
      <c r="B10" t="s">
        <v>165</v>
      </c>
      <c r="C10" t="s">
        <v>200</v>
      </c>
      <c r="E10">
        <v>0</v>
      </c>
      <c r="F10">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8"/>
  <sheetViews>
    <sheetView zoomScale="85" zoomScaleNormal="85" workbookViewId="0">
      <pane ySplit="3" topLeftCell="A5" activePane="bottomLeft" state="frozen"/>
      <selection pane="bottomLeft" activeCell="L7" sqref="L7"/>
    </sheetView>
  </sheetViews>
  <sheetFormatPr defaultColWidth="8.69140625" defaultRowHeight="12.45" x14ac:dyDescent="0.3"/>
  <cols>
    <col min="1" max="1" width="5" customWidth="1"/>
    <col min="2" max="2" width="12" customWidth="1"/>
    <col min="3" max="3" width="16" customWidth="1"/>
    <col min="4" max="5" width="18" customWidth="1"/>
    <col min="6" max="6" width="50" customWidth="1"/>
    <col min="7" max="8" width="36" customWidth="1"/>
    <col min="9" max="9" width="12" customWidth="1"/>
    <col min="10" max="10" width="22" customWidth="1"/>
  </cols>
  <sheetData>
    <row r="1" spans="1:10" x14ac:dyDescent="0.3">
      <c r="A1" s="8" t="s">
        <v>0</v>
      </c>
    </row>
    <row r="2" spans="1:10" x14ac:dyDescent="0.3">
      <c r="A2" s="10" t="s">
        <v>1</v>
      </c>
    </row>
    <row r="3" spans="1:10" ht="24.9" customHeight="1" x14ac:dyDescent="0.3">
      <c r="A3" s="6" t="s">
        <v>2</v>
      </c>
      <c r="B3" s="6" t="s">
        <v>3</v>
      </c>
      <c r="C3" s="6" t="s">
        <v>4</v>
      </c>
      <c r="D3" s="6" t="s">
        <v>5</v>
      </c>
      <c r="E3" s="6" t="s">
        <v>6</v>
      </c>
      <c r="F3" s="6" t="s">
        <v>7</v>
      </c>
      <c r="G3" s="6" t="s">
        <v>8</v>
      </c>
      <c r="H3" s="6" t="s">
        <v>9</v>
      </c>
      <c r="I3" s="6" t="s">
        <v>10</v>
      </c>
      <c r="J3" s="6" t="s">
        <v>11</v>
      </c>
    </row>
    <row r="4" spans="1:10" ht="55" customHeight="1" x14ac:dyDescent="0.3">
      <c r="A4" s="7">
        <v>2</v>
      </c>
      <c r="B4" s="11">
        <v>46298</v>
      </c>
      <c r="C4" s="12" t="s">
        <v>13</v>
      </c>
      <c r="D4" s="12" t="s">
        <v>14</v>
      </c>
      <c r="E4" s="12" t="s">
        <v>12</v>
      </c>
      <c r="F4" s="19" t="s">
        <v>15</v>
      </c>
      <c r="G4" s="12" t="s">
        <v>16</v>
      </c>
      <c r="H4" s="12" t="s">
        <v>17</v>
      </c>
      <c r="I4" s="12" t="s">
        <v>18</v>
      </c>
      <c r="J4" s="12" t="s">
        <v>19</v>
      </c>
    </row>
    <row r="5" spans="1:10" ht="55" customHeight="1" x14ac:dyDescent="0.3">
      <c r="A5" s="7">
        <v>3</v>
      </c>
      <c r="B5" s="11">
        <v>46298</v>
      </c>
      <c r="C5" s="12" t="s">
        <v>13</v>
      </c>
      <c r="D5" s="12" t="s">
        <v>14</v>
      </c>
      <c r="E5" s="12" t="s">
        <v>12</v>
      </c>
      <c r="F5" s="18" t="s">
        <v>20</v>
      </c>
      <c r="G5" s="12" t="s">
        <v>21</v>
      </c>
      <c r="H5" s="12" t="s">
        <v>17</v>
      </c>
      <c r="I5" s="12" t="s">
        <v>18</v>
      </c>
      <c r="J5" s="12" t="s">
        <v>22</v>
      </c>
    </row>
    <row r="6" spans="1:10" ht="55" customHeight="1" x14ac:dyDescent="0.3">
      <c r="A6" s="7">
        <v>4</v>
      </c>
      <c r="B6" s="11">
        <v>46298</v>
      </c>
      <c r="C6" s="12" t="s">
        <v>13</v>
      </c>
      <c r="D6" s="12" t="s">
        <v>14</v>
      </c>
      <c r="E6" s="12" t="s">
        <v>12</v>
      </c>
      <c r="F6" s="18" t="s">
        <v>23</v>
      </c>
      <c r="G6" s="12" t="s">
        <v>24</v>
      </c>
      <c r="H6" s="12" t="s">
        <v>17</v>
      </c>
      <c r="I6" s="12" t="s">
        <v>18</v>
      </c>
      <c r="J6" s="12" t="s">
        <v>25</v>
      </c>
    </row>
    <row r="7" spans="1:10" ht="55" customHeight="1" x14ac:dyDescent="0.3">
      <c r="A7" s="7">
        <v>5</v>
      </c>
      <c r="B7" s="11">
        <v>46298</v>
      </c>
      <c r="C7" s="12" t="s">
        <v>13</v>
      </c>
      <c r="D7" s="12" t="s">
        <v>14</v>
      </c>
      <c r="E7" s="12" t="s">
        <v>12</v>
      </c>
      <c r="F7" s="18" t="s">
        <v>26</v>
      </c>
      <c r="G7" s="12" t="s">
        <v>27</v>
      </c>
      <c r="H7" s="12" t="s">
        <v>17</v>
      </c>
      <c r="I7" s="12" t="s">
        <v>18</v>
      </c>
      <c r="J7" s="12" t="s">
        <v>28</v>
      </c>
    </row>
    <row r="8" spans="1:10" ht="55" customHeight="1" x14ac:dyDescent="0.3">
      <c r="A8" s="7">
        <v>6</v>
      </c>
      <c r="B8" s="11">
        <v>46298</v>
      </c>
      <c r="C8" s="12" t="s">
        <v>13</v>
      </c>
      <c r="D8" s="12" t="s">
        <v>14</v>
      </c>
      <c r="E8" s="12" t="s">
        <v>12</v>
      </c>
      <c r="F8" s="18" t="s">
        <v>29</v>
      </c>
      <c r="G8" s="12" t="s">
        <v>30</v>
      </c>
      <c r="H8" s="12" t="s">
        <v>31</v>
      </c>
      <c r="I8" s="12" t="s">
        <v>18</v>
      </c>
      <c r="J8" s="12" t="s">
        <v>32</v>
      </c>
    </row>
    <row r="9" spans="1:10" ht="55" customHeight="1" x14ac:dyDescent="0.3">
      <c r="A9" s="7">
        <v>7</v>
      </c>
      <c r="B9" s="11">
        <v>46298</v>
      </c>
      <c r="C9" s="12" t="s">
        <v>13</v>
      </c>
      <c r="D9" s="12" t="s">
        <v>14</v>
      </c>
      <c r="E9" s="12" t="s">
        <v>12</v>
      </c>
      <c r="F9" s="18" t="s">
        <v>33</v>
      </c>
      <c r="G9" s="12" t="s">
        <v>34</v>
      </c>
      <c r="H9" s="12" t="s">
        <v>35</v>
      </c>
      <c r="I9" s="12" t="s">
        <v>18</v>
      </c>
      <c r="J9" s="12" t="s">
        <v>36</v>
      </c>
    </row>
    <row r="10" spans="1:10" ht="55" customHeight="1" x14ac:dyDescent="0.3">
      <c r="A10" s="7">
        <v>8</v>
      </c>
      <c r="B10" s="11">
        <v>46298</v>
      </c>
      <c r="C10" s="12" t="s">
        <v>13</v>
      </c>
      <c r="D10" s="12" t="s">
        <v>14</v>
      </c>
      <c r="E10" s="12" t="s">
        <v>12</v>
      </c>
      <c r="F10" s="18" t="s">
        <v>37</v>
      </c>
      <c r="G10" s="12" t="s">
        <v>38</v>
      </c>
      <c r="H10" s="12" t="s">
        <v>39</v>
      </c>
      <c r="I10" s="12" t="s">
        <v>18</v>
      </c>
      <c r="J10" s="12" t="s">
        <v>40</v>
      </c>
    </row>
    <row r="11" spans="1:10" ht="55" customHeight="1" x14ac:dyDescent="0.3">
      <c r="A11" s="7">
        <v>9</v>
      </c>
      <c r="B11" s="11">
        <v>46298</v>
      </c>
      <c r="C11" s="12" t="s">
        <v>13</v>
      </c>
      <c r="D11" s="12" t="s">
        <v>14</v>
      </c>
      <c r="E11" s="12" t="s">
        <v>12</v>
      </c>
      <c r="F11" s="18" t="s">
        <v>41</v>
      </c>
      <c r="G11" s="12" t="s">
        <v>42</v>
      </c>
      <c r="H11" s="12" t="s">
        <v>43</v>
      </c>
      <c r="I11" s="12" t="s">
        <v>18</v>
      </c>
      <c r="J11" s="12" t="s">
        <v>44</v>
      </c>
    </row>
    <row r="12" spans="1:10" ht="55" customHeight="1" x14ac:dyDescent="0.3">
      <c r="A12" s="7">
        <v>10</v>
      </c>
      <c r="B12" s="11">
        <v>46298</v>
      </c>
      <c r="C12" s="12" t="s">
        <v>13</v>
      </c>
      <c r="D12" s="12" t="s">
        <v>14</v>
      </c>
      <c r="E12" s="12" t="s">
        <v>12</v>
      </c>
      <c r="F12" s="18" t="s">
        <v>45</v>
      </c>
      <c r="G12" s="12" t="s">
        <v>46</v>
      </c>
      <c r="H12" s="12" t="s">
        <v>47</v>
      </c>
      <c r="I12" s="12" t="s">
        <v>18</v>
      </c>
      <c r="J12" s="12" t="s">
        <v>48</v>
      </c>
    </row>
    <row r="13" spans="1:10" ht="55" customHeight="1" x14ac:dyDescent="0.3">
      <c r="A13" s="7">
        <v>11</v>
      </c>
      <c r="B13" s="11">
        <v>46298</v>
      </c>
      <c r="C13" s="12" t="s">
        <v>13</v>
      </c>
      <c r="D13" s="12" t="s">
        <v>14</v>
      </c>
      <c r="E13" s="12" t="s">
        <v>12</v>
      </c>
      <c r="F13" s="18" t="s">
        <v>49</v>
      </c>
      <c r="G13" s="12" t="s">
        <v>50</v>
      </c>
      <c r="H13" s="12" t="s">
        <v>51</v>
      </c>
      <c r="I13" s="12" t="s">
        <v>18</v>
      </c>
      <c r="J13" s="12" t="s">
        <v>52</v>
      </c>
    </row>
    <row r="14" spans="1:10" ht="55" customHeight="1" x14ac:dyDescent="0.3">
      <c r="A14" s="7">
        <v>12</v>
      </c>
      <c r="B14" s="11">
        <v>46298</v>
      </c>
      <c r="C14" s="12" t="s">
        <v>13</v>
      </c>
      <c r="D14" s="12" t="s">
        <v>14</v>
      </c>
      <c r="E14" s="12" t="s">
        <v>12</v>
      </c>
      <c r="F14" s="18" t="s">
        <v>53</v>
      </c>
      <c r="G14" s="12" t="s">
        <v>54</v>
      </c>
      <c r="H14" s="12" t="s">
        <v>55</v>
      </c>
      <c r="I14" s="12" t="s">
        <v>18</v>
      </c>
      <c r="J14" s="12" t="s">
        <v>56</v>
      </c>
    </row>
    <row r="15" spans="1:10" ht="55" customHeight="1" x14ac:dyDescent="0.3">
      <c r="A15" s="7">
        <v>13</v>
      </c>
      <c r="B15" s="11">
        <v>46298</v>
      </c>
      <c r="C15" s="12" t="s">
        <v>13</v>
      </c>
      <c r="D15" s="12" t="s">
        <v>14</v>
      </c>
      <c r="E15" s="12" t="s">
        <v>12</v>
      </c>
      <c r="F15" s="18" t="s">
        <v>57</v>
      </c>
      <c r="G15" s="12" t="s">
        <v>58</v>
      </c>
      <c r="H15" s="12" t="s">
        <v>59</v>
      </c>
      <c r="I15" s="12" t="s">
        <v>18</v>
      </c>
      <c r="J15" s="12" t="s">
        <v>60</v>
      </c>
    </row>
    <row r="16" spans="1:10" ht="55" customHeight="1" x14ac:dyDescent="0.3">
      <c r="A16" s="7">
        <v>14</v>
      </c>
      <c r="B16" s="11">
        <v>46298</v>
      </c>
      <c r="C16" s="12" t="s">
        <v>13</v>
      </c>
      <c r="D16" s="12" t="s">
        <v>14</v>
      </c>
      <c r="E16" s="12" t="s">
        <v>12</v>
      </c>
      <c r="F16" s="18" t="s">
        <v>61</v>
      </c>
      <c r="G16" s="12" t="s">
        <v>62</v>
      </c>
      <c r="H16" s="12" t="s">
        <v>63</v>
      </c>
      <c r="I16" s="12" t="s">
        <v>18</v>
      </c>
      <c r="J16" s="12" t="s">
        <v>64</v>
      </c>
    </row>
    <row r="17" spans="1:10" ht="55" customHeight="1" x14ac:dyDescent="0.3">
      <c r="A17" s="7">
        <v>15</v>
      </c>
      <c r="B17" s="11">
        <v>46298</v>
      </c>
      <c r="C17" s="12" t="s">
        <v>13</v>
      </c>
      <c r="D17" s="12" t="s">
        <v>14</v>
      </c>
      <c r="E17" s="12" t="s">
        <v>12</v>
      </c>
      <c r="F17" s="18" t="s">
        <v>65</v>
      </c>
      <c r="G17" s="12" t="s">
        <v>66</v>
      </c>
      <c r="H17" s="12" t="s">
        <v>67</v>
      </c>
      <c r="I17" s="12" t="s">
        <v>18</v>
      </c>
      <c r="J17" s="12" t="s">
        <v>64</v>
      </c>
    </row>
    <row r="18" spans="1:10" ht="14.6" customHeight="1" x14ac:dyDescent="0.3">
      <c r="A18" s="7">
        <v>16</v>
      </c>
      <c r="B18" s="11"/>
      <c r="C18" s="12"/>
      <c r="D18" s="12"/>
      <c r="E18" s="12"/>
      <c r="F18" s="12"/>
      <c r="G18" s="12"/>
      <c r="H18" s="12"/>
      <c r="I18" s="12"/>
      <c r="J18" s="12"/>
    </row>
    <row r="19" spans="1:10" ht="14.6" customHeight="1" x14ac:dyDescent="0.3">
      <c r="A19" s="7">
        <v>17</v>
      </c>
      <c r="B19" s="11"/>
      <c r="C19" s="12"/>
      <c r="D19" s="12"/>
      <c r="E19" s="12"/>
      <c r="F19" s="12"/>
      <c r="G19" s="12"/>
      <c r="H19" s="12"/>
      <c r="I19" s="12"/>
      <c r="J19" s="12"/>
    </row>
    <row r="20" spans="1:10" ht="14.6" customHeight="1" x14ac:dyDescent="0.3">
      <c r="A20" s="7">
        <v>18</v>
      </c>
      <c r="B20" s="11"/>
      <c r="C20" s="12"/>
      <c r="D20" s="12"/>
      <c r="E20" s="12"/>
      <c r="F20" s="12"/>
      <c r="G20" s="12"/>
      <c r="H20" s="12"/>
      <c r="I20" s="12"/>
      <c r="J20" s="12"/>
    </row>
    <row r="21" spans="1:10" ht="14.6" customHeight="1" x14ac:dyDescent="0.3">
      <c r="A21" s="7">
        <v>19</v>
      </c>
      <c r="B21" s="11"/>
      <c r="C21" s="12"/>
      <c r="D21" s="12"/>
      <c r="E21" s="12"/>
      <c r="F21" s="12"/>
      <c r="G21" s="12"/>
      <c r="H21" s="12"/>
      <c r="I21" s="12"/>
      <c r="J21" s="12"/>
    </row>
    <row r="22" spans="1:10" ht="14.6" customHeight="1" x14ac:dyDescent="0.3">
      <c r="A22" s="7">
        <v>20</v>
      </c>
      <c r="B22" s="11"/>
      <c r="C22" s="12"/>
      <c r="D22" s="12"/>
      <c r="E22" s="12"/>
      <c r="F22" s="12"/>
      <c r="G22" s="12"/>
      <c r="H22" s="12"/>
      <c r="I22" s="12"/>
      <c r="J22" s="12"/>
    </row>
    <row r="23" spans="1:10" ht="14.6" customHeight="1" x14ac:dyDescent="0.3">
      <c r="A23" s="7">
        <v>21</v>
      </c>
      <c r="B23" s="11"/>
      <c r="C23" s="12"/>
      <c r="D23" s="12"/>
      <c r="E23" s="12"/>
      <c r="F23" s="12"/>
      <c r="G23" s="12"/>
      <c r="H23" s="12"/>
      <c r="I23" s="12"/>
      <c r="J23" s="12"/>
    </row>
    <row r="24" spans="1:10" ht="14.6" customHeight="1" x14ac:dyDescent="0.3">
      <c r="A24" s="7">
        <v>22</v>
      </c>
      <c r="B24" s="11"/>
      <c r="C24" s="12"/>
      <c r="D24" s="12"/>
      <c r="E24" s="12"/>
      <c r="F24" s="12"/>
      <c r="G24" s="12"/>
      <c r="H24" s="12"/>
      <c r="I24" s="12"/>
      <c r="J24" s="12"/>
    </row>
    <row r="25" spans="1:10" ht="14.6" customHeight="1" x14ac:dyDescent="0.3">
      <c r="A25" s="7">
        <v>23</v>
      </c>
      <c r="B25" s="11"/>
      <c r="C25" s="12"/>
      <c r="D25" s="12"/>
      <c r="E25" s="12"/>
      <c r="F25" s="12"/>
      <c r="G25" s="12"/>
      <c r="H25" s="12"/>
      <c r="I25" s="12"/>
      <c r="J25" s="12"/>
    </row>
    <row r="26" spans="1:10" ht="14.6" customHeight="1" x14ac:dyDescent="0.3">
      <c r="A26" s="7">
        <v>24</v>
      </c>
      <c r="B26" s="11"/>
      <c r="C26" s="12"/>
      <c r="D26" s="12"/>
      <c r="E26" s="12"/>
      <c r="F26" s="12"/>
      <c r="G26" s="12"/>
      <c r="H26" s="12"/>
      <c r="I26" s="12"/>
      <c r="J26" s="12"/>
    </row>
    <row r="27" spans="1:10" ht="14.6" customHeight="1" x14ac:dyDescent="0.3">
      <c r="A27" s="7">
        <v>25</v>
      </c>
      <c r="B27" s="11"/>
      <c r="C27" s="12"/>
      <c r="D27" s="12"/>
      <c r="E27" s="12"/>
      <c r="F27" s="12"/>
      <c r="G27" s="12"/>
      <c r="H27" s="12"/>
      <c r="I27" s="12"/>
      <c r="J27" s="12"/>
    </row>
    <row r="28" spans="1:10" ht="14.6" customHeight="1" x14ac:dyDescent="0.3">
      <c r="A28" s="7">
        <v>26</v>
      </c>
      <c r="B28" s="11"/>
      <c r="C28" s="12"/>
      <c r="D28" s="12"/>
      <c r="E28" s="12"/>
      <c r="F28" s="12"/>
      <c r="G28" s="12"/>
      <c r="H28" s="12"/>
      <c r="I28" s="12"/>
      <c r="J28" s="12"/>
    </row>
  </sheetData>
  <dataValidations count="1">
    <dataValidation type="list" allowBlank="1" sqref="I4:I28" xr:uid="{00000000-0002-0000-0400-000000000000}">
      <formula1>"Kept,Rejected,Partly kept"</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Task Brief</vt:lpstr>
      <vt:lpstr>Knowledge Base</vt:lpstr>
      <vt:lpstr>Test Questions</vt:lpstr>
      <vt:lpstr>Data Dictionary</vt:lpstr>
      <vt:lpstr>AI Use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Pratham Karmarkar</cp:lastModifiedBy>
  <cp:revision>0</cp:revision>
  <dcterms:created xsi:type="dcterms:W3CDTF">2026-09-25T16:15:27Z</dcterms:created>
  <dcterms:modified xsi:type="dcterms:W3CDTF">2026-10-04T14:35:44Z</dcterms:modified>
  <dc:language>en-US</dc:language>
</cp:coreProperties>
</file>